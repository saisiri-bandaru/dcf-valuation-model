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Assumptions" sheetId="2" state="visible" r:id="rId2"/>
    <sheet name="02_FCF_Build" sheetId="3" state="visible" r:id="rId3"/>
    <sheet name="03_WACC" sheetId="4" state="visible" r:id="rId4"/>
    <sheet name="04_Valuation" sheetId="5" state="visible" r:id="rId5"/>
    <sheet name="05_Sensitivity" sheetId="6" state="visible" r:id="rId6"/>
    <sheet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$* #,##0_);_($* (#,##0);_($* &quot;-&quot;??_);_(@_)"/>
    <numFmt numFmtId="165" formatCode="0.0%"/>
    <numFmt numFmtId="166" formatCode="&quot;$&quot;#,##0.00"/>
    <numFmt numFmtId="167" formatCode="0.0"/>
    <numFmt numFmtId="168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sz val="11"/>
    </font>
    <font>
      <name val="Calibri"/>
      <color rgb="000563C1"/>
      <sz val="11"/>
      <u val="single"/>
    </font>
    <font>
      <name val="Calibri"/>
      <i val="1"/>
      <color rgb="00666666"/>
      <sz val="10"/>
    </font>
    <font>
      <name val="Calibri"/>
      <color rgb="000000FF"/>
      <sz val="11"/>
    </font>
    <font>
      <name val="Calibri"/>
      <color rgb="00000000"/>
      <sz val="11"/>
    </font>
    <font>
      <name val="Calibri"/>
      <i val="1"/>
      <color rgb="00666666"/>
      <sz val="9"/>
    </font>
    <font>
      <name val="Calibri"/>
      <b val="1"/>
      <sz val="14"/>
    </font>
    <font>
      <name val="Calibri"/>
      <color rgb="00666666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164" fontId="6" fillId="3" borderId="1" pivotButton="0" quotePrefix="0" xfId="0"/>
    <xf numFmtId="0" fontId="7" fillId="0" borderId="0" pivotButton="0" quotePrefix="0" xfId="0"/>
    <xf numFmtId="165" fontId="6" fillId="3" borderId="1" pivotButton="0" quotePrefix="0" xfId="0"/>
    <xf numFmtId="164" fontId="7" fillId="0" borderId="1" pivotButton="0" quotePrefix="0" xfId="0"/>
    <xf numFmtId="2" fontId="6" fillId="3" borderId="1" pivotButton="0" quotePrefix="0" xfId="0"/>
    <xf numFmtId="0" fontId="8" fillId="0" borderId="0" pivotButton="0" quotePrefix="0" xfId="0"/>
    <xf numFmtId="3" fontId="6" fillId="3" borderId="1" pivotButton="0" quotePrefix="0" xfId="0"/>
    <xf numFmtId="0" fontId="6" fillId="3" borderId="1" pivotButton="0" quotePrefix="0" xfId="0"/>
    <xf numFmtId="165" fontId="7" fillId="0" borderId="1" pivotButton="0" quotePrefix="0" xfId="0"/>
    <xf numFmtId="0" fontId="3" fillId="4" borderId="0" pivotButton="0" quotePrefix="0" xfId="0"/>
    <xf numFmtId="164" fontId="3" fillId="4" borderId="1" pivotButton="0" quotePrefix="0" xfId="0"/>
    <xf numFmtId="2" fontId="7" fillId="0" borderId="1" pivotButton="0" quotePrefix="0" xfId="0"/>
    <xf numFmtId="165" fontId="3" fillId="4" borderId="1" pivotButton="0" quotePrefix="0" xfId="0"/>
    <xf numFmtId="165" fontId="9" fillId="4" borderId="1" pivotButton="0" quotePrefix="0" xfId="0"/>
    <xf numFmtId="166" fontId="7" fillId="0" borderId="1" pivotButton="0" quotePrefix="0" xfId="0"/>
    <xf numFmtId="0" fontId="3" fillId="2" borderId="0" pivotButton="0" quotePrefix="0" xfId="0"/>
    <xf numFmtId="167" fontId="7" fillId="0" borderId="1" pivotButton="0" quotePrefix="0" xfId="0"/>
    <xf numFmtId="168" fontId="7" fillId="0" borderId="1" pivotButton="0" quotePrefix="0" xfId="0"/>
    <xf numFmtId="164" fontId="7" fillId="4" borderId="1" pivotButton="0" quotePrefix="0" xfId="0"/>
    <xf numFmtId="0" fontId="10" fillId="0" borderId="0" pivotButton="0" quotePrefix="0" xfId="0"/>
    <xf numFmtId="0" fontId="8" fillId="0" borderId="0" applyAlignment="1" pivotButton="0" quotePrefix="0" xfId="0">
      <alignment wrapText="1"/>
    </xf>
    <xf numFmtId="165" fontId="3" fillId="2" borderId="0" applyAlignment="1" pivotButton="0" quotePrefix="0" xfId="0">
      <alignment horizontal="center"/>
    </xf>
    <xf numFmtId="165" fontId="3" fillId="2" borderId="0" pivotButton="0" quotePrefix="0" xfId="0"/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>
      <c r="B2" s="1" t="inlineStr">
        <is>
          <t>Northline Consumer Products</t>
        </is>
      </c>
    </row>
    <row r="3">
      <c r="B3" s="2" t="inlineStr">
        <is>
          <t>Unlevered DCF Valuation Model</t>
        </is>
      </c>
    </row>
    <row r="5">
      <c r="B5" s="3" t="inlineStr">
        <is>
          <t>What this file is</t>
        </is>
      </c>
    </row>
    <row r="6" ht="48" customHeight="1">
      <c r="B6" s="4" t="inlineStr">
        <is>
          <t>A five-year unlevered DCF for a fictional CPG company. It builds free cash flow from operating assumptions, discounts at WACC, adds a Gordon-growth terminal value, and bridges to equity value, NPV, and IRR.</t>
        </is>
      </c>
    </row>
    <row r="8">
      <c r="B8" s="3" t="inlineStr">
        <is>
          <t>How to use</t>
        </is>
      </c>
    </row>
    <row r="9">
      <c r="B9" t="inlineStr">
        <is>
          <t>1. Edit yellow cells (blue font) on 01_Assumptions.</t>
        </is>
      </c>
    </row>
    <row r="10">
      <c r="B10" t="inlineStr">
        <is>
          <t>2. Read the FCF build on 02_FCF_Build (all formulas).</t>
        </is>
      </c>
    </row>
    <row r="11">
      <c r="B11" t="inlineStr">
        <is>
          <t>3. Check WACC on 03_WACC.</t>
        </is>
      </c>
    </row>
    <row r="12">
      <c r="B12" t="inlineStr">
        <is>
          <t>4. Read enterprise value, equity value, NPV, and IRR on 04_Valuation.</t>
        </is>
      </c>
    </row>
    <row r="13">
      <c r="B13" t="inlineStr">
        <is>
          <t>5. Stress WACC vs terminal growth on 05_Sensitivity.</t>
        </is>
      </c>
    </row>
    <row r="15">
      <c r="B15" s="3" t="inlineStr">
        <is>
          <t>File conventions</t>
        </is>
      </c>
    </row>
    <row r="16">
      <c r="B16" t="inlineStr">
        <is>
          <t>Yellow cells with blue font = inputs. Black font = formulas.</t>
        </is>
      </c>
    </row>
    <row r="17">
      <c r="B17" t="inlineStr">
        <is>
          <t>All figures are fictional. There is no employer data in this file.</t>
        </is>
      </c>
    </row>
    <row r="19">
      <c r="B19" s="3" t="inlineStr">
        <is>
          <t>Portfolio</t>
        </is>
      </c>
    </row>
    <row r="20">
      <c r="B20" t="inlineStr">
        <is>
          <t>Sai Siri Bandaru — Financial Analyst | FP&amp;A | forecasting, variance analysis, Excel</t>
        </is>
      </c>
    </row>
    <row r="21">
      <c r="B21" s="5" t="inlineStr">
        <is>
          <t>https://github.com/saisiri-bandaru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Assumptions</t>
        </is>
      </c>
    </row>
    <row r="3">
      <c r="B3" s="6" t="inlineStr">
        <is>
          <t>Yellow + blue = inputs. Change these; everything else recalculates.</t>
        </is>
      </c>
    </row>
    <row r="5">
      <c r="B5" s="2" t="inlineStr">
        <is>
          <t>Forecast years</t>
        </is>
      </c>
      <c r="C5" s="7" t="inlineStr">
        <is>
          <t>Year 0 (LTM)</t>
        </is>
      </c>
      <c r="D5" s="7" t="inlineStr">
        <is>
          <t>Year 1</t>
        </is>
      </c>
      <c r="E5" s="7" t="inlineStr">
        <is>
          <t>Year 2</t>
        </is>
      </c>
      <c r="F5" s="7" t="inlineStr">
        <is>
          <t>Year 3</t>
        </is>
      </c>
      <c r="G5" s="7" t="inlineStr">
        <is>
          <t>Year 4</t>
        </is>
      </c>
      <c r="H5" s="7" t="inlineStr">
        <is>
          <t>Year 5</t>
        </is>
      </c>
    </row>
    <row r="7">
      <c r="B7" t="inlineStr">
        <is>
          <t>Revenue ($000s)</t>
        </is>
      </c>
      <c r="C7" s="8" t="n">
        <v>850000</v>
      </c>
    </row>
    <row r="8">
      <c r="B8" t="inlineStr">
        <is>
          <t>Revenue growth</t>
        </is>
      </c>
      <c r="C8" s="9" t="inlineStr">
        <is>
          <t>—</t>
        </is>
      </c>
      <c r="D8" s="10" t="n">
        <v>0.08</v>
      </c>
      <c r="E8" s="10" t="n">
        <v>0.07000000000000001</v>
      </c>
      <c r="F8" s="10" t="n">
        <v>0.06</v>
      </c>
      <c r="G8" s="10" t="n">
        <v>0.05</v>
      </c>
      <c r="H8" s="10" t="n">
        <v>0.04</v>
      </c>
    </row>
    <row r="9">
      <c r="B9" t="inlineStr">
        <is>
          <t>Revenue (built)</t>
        </is>
      </c>
      <c r="C9" s="11">
        <f>C7</f>
        <v/>
      </c>
      <c r="D9" s="11">
        <f>C9*(1+D8)</f>
        <v/>
      </c>
      <c r="E9" s="11">
        <f>D9*(1+E8)</f>
        <v/>
      </c>
      <c r="F9" s="11">
        <f>E9*(1+F8)</f>
        <v/>
      </c>
      <c r="G9" s="11">
        <f>F9*(1+G8)</f>
        <v/>
      </c>
      <c r="H9" s="11">
        <f>G9*(1+H8)</f>
        <v/>
      </c>
    </row>
    <row r="11">
      <c r="B11" t="inlineStr">
        <is>
          <t>EBITDA margin</t>
        </is>
      </c>
      <c r="C11" s="10" t="n">
        <v>0.14</v>
      </c>
      <c r="D11" s="10" t="n">
        <v>0.145</v>
      </c>
      <c r="E11" s="10" t="n">
        <v>0.15</v>
      </c>
      <c r="F11" s="10" t="n">
        <v>0.155</v>
      </c>
      <c r="G11" s="10" t="n">
        <v>0.16</v>
      </c>
      <c r="H11" s="10" t="n">
        <v>0.16</v>
      </c>
    </row>
    <row r="12">
      <c r="B12" t="inlineStr">
        <is>
          <t>D&amp;A % of revenue</t>
        </is>
      </c>
      <c r="C12" s="10" t="n">
        <v>0.035</v>
      </c>
      <c r="D12" s="10" t="n">
        <v>0.035</v>
      </c>
      <c r="E12" s="10" t="n">
        <v>0.034</v>
      </c>
      <c r="F12" s="10" t="n">
        <v>0.034</v>
      </c>
      <c r="G12" s="10" t="n">
        <v>0.033</v>
      </c>
      <c r="H12" s="10" t="n">
        <v>0.033</v>
      </c>
    </row>
    <row r="13">
      <c r="B13" t="inlineStr">
        <is>
          <t>Capex % of revenue</t>
        </is>
      </c>
      <c r="C13" s="10" t="n">
        <v>0.04</v>
      </c>
      <c r="D13" s="10" t="n">
        <v>0.04</v>
      </c>
      <c r="E13" s="10" t="n">
        <v>0.038</v>
      </c>
      <c r="F13" s="10" t="n">
        <v>0.037</v>
      </c>
      <c r="G13" s="10" t="n">
        <v>0.036</v>
      </c>
      <c r="H13" s="10" t="n">
        <v>0.035</v>
      </c>
    </row>
    <row r="14">
      <c r="B14" t="inlineStr">
        <is>
          <t>NWC % of revenue</t>
        </is>
      </c>
      <c r="C14" s="10" t="n">
        <v>0.12</v>
      </c>
      <c r="D14" s="10" t="n">
        <v>0.118</v>
      </c>
      <c r="E14" s="10" t="n">
        <v>0.116</v>
      </c>
      <c r="F14" s="10" t="n">
        <v>0.114</v>
      </c>
      <c r="G14" s="10" t="n">
        <v>0.112</v>
      </c>
      <c r="H14" s="10" t="n">
        <v>0.11</v>
      </c>
    </row>
    <row r="16">
      <c r="B16" t="inlineStr">
        <is>
          <t>Tax rate</t>
        </is>
      </c>
      <c r="C16" s="10" t="n">
        <v>0.25</v>
      </c>
    </row>
    <row r="18">
      <c r="B18" s="2" t="inlineStr">
        <is>
          <t>WACC inputs</t>
        </is>
      </c>
    </row>
    <row r="19">
      <c r="B19" t="inlineStr">
        <is>
          <t>Risk-free rate</t>
        </is>
      </c>
      <c r="C19" s="10" t="n">
        <v>0.04</v>
      </c>
    </row>
    <row r="20">
      <c r="B20" t="inlineStr">
        <is>
          <t>Equity risk premium</t>
        </is>
      </c>
      <c r="C20" s="10" t="n">
        <v>0.05</v>
      </c>
    </row>
    <row r="21">
      <c r="B21" t="inlineStr">
        <is>
          <t>Beta (levered)</t>
        </is>
      </c>
      <c r="C21" s="12" t="n">
        <v>1.05</v>
      </c>
    </row>
    <row r="22">
      <c r="B22" t="inlineStr">
        <is>
          <t>Pre-tax cost of debt</t>
        </is>
      </c>
      <c r="C22" s="10" t="n">
        <v>0.055</v>
      </c>
    </row>
    <row r="23">
      <c r="B23" t="inlineStr">
        <is>
          <t>Target debt weight D/(D+E)</t>
        </is>
      </c>
      <c r="C23" s="10" t="n">
        <v>0.25</v>
      </c>
    </row>
    <row r="25">
      <c r="B25" s="2" t="inlineStr">
        <is>
          <t>Terminal value</t>
        </is>
      </c>
    </row>
    <row r="26">
      <c r="B26" t="inlineStr">
        <is>
          <t>Terminal growth (g)</t>
        </is>
      </c>
      <c r="C26" s="10" t="n">
        <v>0.025</v>
      </c>
    </row>
    <row r="27">
      <c r="B27" s="13" t="inlineStr">
        <is>
          <t>Note: g must stay below WACC.</t>
        </is>
      </c>
    </row>
    <row r="29">
      <c r="B29" s="2" t="inlineStr">
        <is>
          <t>Equity bridge</t>
        </is>
      </c>
    </row>
    <row r="30">
      <c r="B30" t="inlineStr">
        <is>
          <t>Net debt / (net cash) ($000s)</t>
        </is>
      </c>
      <c r="C30" s="8" t="n">
        <v>120000</v>
      </c>
    </row>
    <row r="31">
      <c r="B31" t="inlineStr">
        <is>
          <t>Shares outstanding (000s)</t>
        </is>
      </c>
      <c r="C31" s="14" t="n">
        <v>40000</v>
      </c>
    </row>
    <row r="33">
      <c r="B33" s="2" t="inlineStr">
        <is>
          <t>Discounting</t>
        </is>
      </c>
    </row>
    <row r="34">
      <c r="B34" t="inlineStr">
        <is>
          <t>Mid-year convention (1=yes, 0=year-end)</t>
        </is>
      </c>
      <c r="C34" s="15" t="n">
        <v>1</v>
      </c>
    </row>
    <row r="36">
      <c r="B36" s="13" t="inlineStr">
        <is>
          <t>Units: $000s throughout unless noted.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Unlevered free cash flow build</t>
        </is>
      </c>
    </row>
    <row r="3">
      <c r="B3" s="6" t="inlineStr">
        <is>
          <t>All rows are formulas from 01_Assumptions.</t>
        </is>
      </c>
    </row>
    <row r="5">
      <c r="C5" s="7" t="inlineStr">
        <is>
          <t>Year 0 (LTM)</t>
        </is>
      </c>
      <c r="D5" s="7" t="inlineStr">
        <is>
          <t>Year 1</t>
        </is>
      </c>
      <c r="E5" s="7" t="inlineStr">
        <is>
          <t>Year 2</t>
        </is>
      </c>
      <c r="F5" s="7" t="inlineStr">
        <is>
          <t>Year 3</t>
        </is>
      </c>
      <c r="G5" s="7" t="inlineStr">
        <is>
          <t>Year 4</t>
        </is>
      </c>
      <c r="H5" s="7" t="inlineStr">
        <is>
          <t>Year 5</t>
        </is>
      </c>
    </row>
    <row r="6">
      <c r="B6" s="9" t="inlineStr">
        <is>
          <t>Revenue</t>
        </is>
      </c>
      <c r="C6" s="11">
        <f>'01_Assumptions'!C9</f>
        <v/>
      </c>
      <c r="D6" s="11">
        <f>'01_Assumptions'!D9</f>
        <v/>
      </c>
      <c r="E6" s="11">
        <f>'01_Assumptions'!E9</f>
        <v/>
      </c>
      <c r="F6" s="11">
        <f>'01_Assumptions'!F9</f>
        <v/>
      </c>
      <c r="G6" s="11">
        <f>'01_Assumptions'!G9</f>
        <v/>
      </c>
      <c r="H6" s="11">
        <f>'01_Assumptions'!H9</f>
        <v/>
      </c>
    </row>
    <row r="7">
      <c r="B7" s="9" t="inlineStr">
        <is>
          <t>EBITDA margin</t>
        </is>
      </c>
      <c r="C7" s="16">
        <f>'01_Assumptions'!C11</f>
        <v/>
      </c>
      <c r="D7" s="16">
        <f>'01_Assumptions'!D11</f>
        <v/>
      </c>
      <c r="E7" s="16">
        <f>'01_Assumptions'!E11</f>
        <v/>
      </c>
      <c r="F7" s="16">
        <f>'01_Assumptions'!F11</f>
        <v/>
      </c>
      <c r="G7" s="16">
        <f>'01_Assumptions'!G11</f>
        <v/>
      </c>
      <c r="H7" s="16">
        <f>'01_Assumptions'!H11</f>
        <v/>
      </c>
    </row>
    <row r="8">
      <c r="B8" s="9" t="inlineStr">
        <is>
          <t>EBITDA</t>
        </is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</row>
    <row r="9">
      <c r="B9" s="9" t="inlineStr">
        <is>
          <t>D&amp;A</t>
        </is>
      </c>
      <c r="C9" s="11">
        <f>C6*'01_Assumptions'!C12</f>
        <v/>
      </c>
      <c r="D9" s="11">
        <f>D6*'01_Assumptions'!D12</f>
        <v/>
      </c>
      <c r="E9" s="11">
        <f>E6*'01_Assumptions'!E12</f>
        <v/>
      </c>
      <c r="F9" s="11">
        <f>F6*'01_Assumptions'!F12</f>
        <v/>
      </c>
      <c r="G9" s="11">
        <f>G6*'01_Assumptions'!G12</f>
        <v/>
      </c>
      <c r="H9" s="11">
        <f>H6*'01_Assumptions'!H12</f>
        <v/>
      </c>
    </row>
    <row r="10">
      <c r="B10" s="9" t="inlineStr">
        <is>
          <t>EBIT</t>
        </is>
      </c>
      <c r="C10" s="11">
        <f>C8-C9</f>
        <v/>
      </c>
      <c r="D10" s="11">
        <f>D8-D9</f>
        <v/>
      </c>
      <c r="E10" s="11">
        <f>E8-E9</f>
        <v/>
      </c>
      <c r="F10" s="11">
        <f>F8-F9</f>
        <v/>
      </c>
      <c r="G10" s="11">
        <f>G8-G9</f>
        <v/>
      </c>
      <c r="H10" s="11">
        <f>H8-H9</f>
        <v/>
      </c>
    </row>
    <row r="11">
      <c r="B11" s="9" t="inlineStr">
        <is>
          <t>Tax on EBIT</t>
        </is>
      </c>
      <c r="C11" s="11">
        <f>C10*'01_Assumptions'!$C$16</f>
        <v/>
      </c>
      <c r="D11" s="11">
        <f>D10*'01_Assumptions'!$C$16</f>
        <v/>
      </c>
      <c r="E11" s="11">
        <f>E10*'01_Assumptions'!$C$16</f>
        <v/>
      </c>
      <c r="F11" s="11">
        <f>F10*'01_Assumptions'!$C$16</f>
        <v/>
      </c>
      <c r="G11" s="11">
        <f>G10*'01_Assumptions'!$C$16</f>
        <v/>
      </c>
      <c r="H11" s="11">
        <f>H10*'01_Assumptions'!$C$16</f>
        <v/>
      </c>
    </row>
    <row r="12">
      <c r="B12" s="9" t="inlineStr">
        <is>
          <t>NOPAT</t>
        </is>
      </c>
      <c r="C12" s="11">
        <f>C10-C11</f>
        <v/>
      </c>
      <c r="D12" s="11">
        <f>D10-D11</f>
        <v/>
      </c>
      <c r="E12" s="11">
        <f>E10-E11</f>
        <v/>
      </c>
      <c r="F12" s="11">
        <f>F10-F11</f>
        <v/>
      </c>
      <c r="G12" s="11">
        <f>G10-G11</f>
        <v/>
      </c>
      <c r="H12" s="11">
        <f>H10-H11</f>
        <v/>
      </c>
    </row>
    <row r="13">
      <c r="B13" s="9" t="inlineStr">
        <is>
          <t>+ D&amp;A</t>
        </is>
      </c>
      <c r="C13" s="11">
        <f>C9</f>
        <v/>
      </c>
      <c r="D13" s="11">
        <f>D9</f>
        <v/>
      </c>
      <c r="E13" s="11">
        <f>E9</f>
        <v/>
      </c>
      <c r="F13" s="11">
        <f>F9</f>
        <v/>
      </c>
      <c r="G13" s="11">
        <f>G9</f>
        <v/>
      </c>
      <c r="H13" s="11">
        <f>H9</f>
        <v/>
      </c>
    </row>
    <row r="14">
      <c r="B14" s="9" t="inlineStr">
        <is>
          <t>Gross cash flow</t>
        </is>
      </c>
      <c r="C14" s="11">
        <f>C12+C13</f>
        <v/>
      </c>
      <c r="D14" s="11">
        <f>D12+D13</f>
        <v/>
      </c>
      <c r="E14" s="11">
        <f>E12+E13</f>
        <v/>
      </c>
      <c r="F14" s="11">
        <f>F12+F13</f>
        <v/>
      </c>
      <c r="G14" s="11">
        <f>G12+G13</f>
        <v/>
      </c>
      <c r="H14" s="11">
        <f>H12+H13</f>
        <v/>
      </c>
    </row>
    <row r="15">
      <c r="B15" s="9" t="inlineStr">
        <is>
          <t>Capex</t>
        </is>
      </c>
      <c r="C15" s="11">
        <f>C6*'01_Assumptions'!C13</f>
        <v/>
      </c>
      <c r="D15" s="11">
        <f>D6*'01_Assumptions'!D13</f>
        <v/>
      </c>
      <c r="E15" s="11">
        <f>E6*'01_Assumptions'!E13</f>
        <v/>
      </c>
      <c r="F15" s="11">
        <f>F6*'01_Assumptions'!F13</f>
        <v/>
      </c>
      <c r="G15" s="11">
        <f>G6*'01_Assumptions'!G13</f>
        <v/>
      </c>
      <c r="H15" s="11">
        <f>H6*'01_Assumptions'!H13</f>
        <v/>
      </c>
    </row>
    <row r="16">
      <c r="B16" s="9" t="inlineStr">
        <is>
          <t>NWC balance</t>
        </is>
      </c>
      <c r="C16" s="11">
        <f>C6*'01_Assumptions'!C14</f>
        <v/>
      </c>
      <c r="D16" s="11">
        <f>D6*'01_Assumptions'!D14</f>
        <v/>
      </c>
      <c r="E16" s="11">
        <f>E6*'01_Assumptions'!E14</f>
        <v/>
      </c>
      <c r="F16" s="11">
        <f>F6*'01_Assumptions'!F14</f>
        <v/>
      </c>
      <c r="G16" s="11">
        <f>G6*'01_Assumptions'!G14</f>
        <v/>
      </c>
      <c r="H16" s="11">
        <f>H6*'01_Assumptions'!H14</f>
        <v/>
      </c>
    </row>
    <row r="17">
      <c r="B17" s="9" t="inlineStr">
        <is>
          <t>Δ NWC (use of cash)</t>
        </is>
      </c>
      <c r="C17" s="11">
        <f>0</f>
        <v/>
      </c>
      <c r="D17" s="11">
        <f>D16-C16</f>
        <v/>
      </c>
      <c r="E17" s="11">
        <f>E16-D16</f>
        <v/>
      </c>
      <c r="F17" s="11">
        <f>F16-E16</f>
        <v/>
      </c>
      <c r="G17" s="11">
        <f>G16-F16</f>
        <v/>
      </c>
      <c r="H17" s="11">
        <f>H16-G16</f>
        <v/>
      </c>
    </row>
    <row r="18">
      <c r="B18" s="17" t="inlineStr">
        <is>
          <t>Unlevered FCF</t>
        </is>
      </c>
      <c r="C18" s="18">
        <f>C14-C15-C17</f>
        <v/>
      </c>
      <c r="D18" s="18">
        <f>D14-D15-D17</f>
        <v/>
      </c>
      <c r="E18" s="18">
        <f>E14-E15-E17</f>
        <v/>
      </c>
      <c r="F18" s="18">
        <f>F14-F15-F17</f>
        <v/>
      </c>
      <c r="G18" s="18">
        <f>G14-G15-G17</f>
        <v/>
      </c>
      <c r="H18" s="18">
        <f>H14-H15-H17</f>
        <v/>
      </c>
    </row>
    <row r="20">
      <c r="B20" s="13" t="inlineStr">
        <is>
          <t>Note: Year 0 FCF is shown for reference; valuation discounts Year 1–5 FCFs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0" customWidth="1" min="4" max="4"/>
  </cols>
  <sheetData>
    <row r="2">
      <c r="B2" s="1" t="inlineStr">
        <is>
          <t>WACC</t>
        </is>
      </c>
    </row>
    <row r="3">
      <c r="B3" s="6" t="inlineStr">
        <is>
          <t>Capital structure weights × after-tax costs.</t>
        </is>
      </c>
    </row>
    <row r="5">
      <c r="B5" s="2" t="inlineStr">
        <is>
          <t>Cost of equity (CAPM)</t>
        </is>
      </c>
    </row>
    <row r="6">
      <c r="B6" t="inlineStr">
        <is>
          <t>Risk-free rate</t>
        </is>
      </c>
      <c r="C6" s="16">
        <f>'01_Assumptions'!C19</f>
        <v/>
      </c>
    </row>
    <row r="7">
      <c r="B7" t="inlineStr">
        <is>
          <t>Equity risk premium</t>
        </is>
      </c>
      <c r="C7" s="16">
        <f>'01_Assumptions'!C20</f>
        <v/>
      </c>
    </row>
    <row r="8">
      <c r="B8" t="inlineStr">
        <is>
          <t>Beta</t>
        </is>
      </c>
      <c r="C8" s="19">
        <f>'01_Assumptions'!C21</f>
        <v/>
      </c>
    </row>
    <row r="9">
      <c r="B9" t="inlineStr">
        <is>
          <t>Cost of equity</t>
        </is>
      </c>
      <c r="C9" s="20">
        <f>C6+C8*C7</f>
        <v/>
      </c>
    </row>
    <row r="11">
      <c r="B11" s="2" t="inlineStr">
        <is>
          <t>Cost of debt</t>
        </is>
      </c>
    </row>
    <row r="12">
      <c r="B12" t="inlineStr">
        <is>
          <t>Pre-tax cost of debt</t>
        </is>
      </c>
      <c r="C12" s="16">
        <f>'01_Assumptions'!C22</f>
        <v/>
      </c>
    </row>
    <row r="13">
      <c r="B13" t="inlineStr">
        <is>
          <t>Tax rate</t>
        </is>
      </c>
      <c r="C13" s="16">
        <f>'01_Assumptions'!C16</f>
        <v/>
      </c>
    </row>
    <row r="14">
      <c r="B14" t="inlineStr">
        <is>
          <t>After-tax cost of debt</t>
        </is>
      </c>
      <c r="C14" s="20">
        <f>C12*(1-C13)</f>
        <v/>
      </c>
    </row>
    <row r="16">
      <c r="B16" s="2" t="inlineStr">
        <is>
          <t>Weights</t>
        </is>
      </c>
    </row>
    <row r="17">
      <c r="B17" t="inlineStr">
        <is>
          <t>Debt weight</t>
        </is>
      </c>
      <c r="C17" s="16">
        <f>'01_Assumptions'!C23</f>
        <v/>
      </c>
    </row>
    <row r="18">
      <c r="B18" t="inlineStr">
        <is>
          <t>Equity weight</t>
        </is>
      </c>
      <c r="C18" s="16">
        <f>1-C17</f>
        <v/>
      </c>
    </row>
    <row r="20">
      <c r="B20" s="2" t="inlineStr">
        <is>
          <t>WACC</t>
        </is>
      </c>
    </row>
    <row r="21">
      <c r="B21" t="inlineStr">
        <is>
          <t>WACC</t>
        </is>
      </c>
      <c r="C21" s="21">
        <f>C18*C9+C17*C14</f>
        <v/>
      </c>
      <c r="D21" s="13">
        <f>C18*C9 + C17*C14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Valuation summary</t>
        </is>
      </c>
    </row>
    <row r="3">
      <c r="B3" s="6" t="inlineStr">
        <is>
          <t>Discount forecast FCFs at WACC; terminal value via Gordon growth on Year-5 FCF.</t>
        </is>
      </c>
    </row>
    <row r="5">
      <c r="B5" s="3" t="inlineStr">
        <is>
          <t>Enterprise value</t>
        </is>
      </c>
      <c r="C5" s="18">
        <f>C28</f>
        <v/>
      </c>
    </row>
    <row r="6">
      <c r="B6" s="3" t="inlineStr">
        <is>
          <t>Less: net debt</t>
        </is>
      </c>
      <c r="C6" s="11">
        <f>'01_Assumptions'!C30</f>
        <v/>
      </c>
    </row>
    <row r="7">
      <c r="B7" s="3" t="inlineStr">
        <is>
          <t>Equity value</t>
        </is>
      </c>
      <c r="C7" s="18">
        <f>C5-C6</f>
        <v/>
      </c>
    </row>
    <row r="8">
      <c r="B8" s="3" t="inlineStr">
        <is>
          <t>Equity value / share ($)</t>
        </is>
      </c>
      <c r="C8" s="22">
        <f>C7/'01_Assumptions'!C31</f>
        <v/>
      </c>
    </row>
    <row r="10">
      <c r="B10" s="3" t="inlineStr">
        <is>
          <t>NPV of FCFs + TV (at t0)</t>
        </is>
      </c>
      <c r="C10" s="18">
        <f>C28</f>
        <v/>
      </c>
    </row>
    <row r="11">
      <c r="B11" s="3" t="inlineStr">
        <is>
          <t>Implied IRR (Y1–Y5 FCF + TV vs EV)</t>
        </is>
      </c>
      <c r="C11" s="16">
        <f>C32</f>
        <v/>
      </c>
    </row>
    <row r="13">
      <c r="B13" s="2" t="inlineStr">
        <is>
          <t>Discount factors &amp; PV of FCF</t>
        </is>
      </c>
    </row>
    <row r="14">
      <c r="C14" s="23" t="inlineStr">
        <is>
          <t>Year 1</t>
        </is>
      </c>
      <c r="D14" s="23" t="inlineStr">
        <is>
          <t>Year 2</t>
        </is>
      </c>
      <c r="E14" s="23" t="inlineStr">
        <is>
          <t>Year 3</t>
        </is>
      </c>
      <c r="F14" s="23" t="inlineStr">
        <is>
          <t>Year 4</t>
        </is>
      </c>
      <c r="G14" s="23" t="inlineStr">
        <is>
          <t>Year 5</t>
        </is>
      </c>
    </row>
    <row r="15">
      <c r="B15" t="inlineStr">
        <is>
          <t>Unlevered FCF</t>
        </is>
      </c>
      <c r="C15" s="11">
        <f>'02_FCF_Build'!D18</f>
        <v/>
      </c>
      <c r="D15" s="11">
        <f>'02_FCF_Build'!E18</f>
        <v/>
      </c>
      <c r="E15" s="11">
        <f>'02_FCF_Build'!F18</f>
        <v/>
      </c>
      <c r="F15" s="11">
        <f>'02_FCF_Build'!G18</f>
        <v/>
      </c>
      <c r="G15" s="11">
        <f>'02_FCF_Build'!H18</f>
        <v/>
      </c>
    </row>
    <row r="16">
      <c r="B16" t="inlineStr">
        <is>
          <t>WACC</t>
        </is>
      </c>
      <c r="C16" s="16">
        <f>'03_WACC'!$C$21</f>
        <v/>
      </c>
      <c r="D16" s="16">
        <f>C16</f>
        <v/>
      </c>
      <c r="E16" s="16">
        <f>C16</f>
        <v/>
      </c>
      <c r="F16" s="16">
        <f>C16</f>
        <v/>
      </c>
      <c r="G16" s="16">
        <f>C16</f>
        <v/>
      </c>
    </row>
    <row r="17">
      <c r="B17" t="inlineStr">
        <is>
          <t>Time (years)</t>
        </is>
      </c>
      <c r="C17" s="24">
        <f>IF('01_Assumptions'!$C$34=1,0.5,1)</f>
        <v/>
      </c>
      <c r="D17" s="24">
        <f>C17+1</f>
        <v/>
      </c>
      <c r="E17" s="24">
        <f>D17+1</f>
        <v/>
      </c>
      <c r="F17" s="24">
        <f>E17+1</f>
        <v/>
      </c>
      <c r="G17" s="24">
        <f>F17+1</f>
        <v/>
      </c>
    </row>
    <row r="18">
      <c r="B18" t="inlineStr">
        <is>
          <t>Discount factor</t>
        </is>
      </c>
      <c r="C18" s="25">
        <f>1/(1+C16)^C17</f>
        <v/>
      </c>
      <c r="D18" s="25">
        <f>1/(1+$C$16)^D17</f>
        <v/>
      </c>
      <c r="E18" s="25">
        <f>1/(1+$C$16)^E17</f>
        <v/>
      </c>
      <c r="F18" s="25">
        <f>1/(1+$C$16)^F17</f>
        <v/>
      </c>
      <c r="G18" s="25">
        <f>1/(1+$C$16)^G17</f>
        <v/>
      </c>
    </row>
    <row r="19">
      <c r="B19" t="inlineStr">
        <is>
          <t>PV of FCF</t>
        </is>
      </c>
      <c r="C19" s="11">
        <f>C15*C18</f>
        <v/>
      </c>
      <c r="D19" s="11">
        <f>D15*D18</f>
        <v/>
      </c>
      <c r="E19" s="11">
        <f>E15*E18</f>
        <v/>
      </c>
      <c r="F19" s="11">
        <f>F15*F18</f>
        <v/>
      </c>
      <c r="G19" s="11">
        <f>G15*G18</f>
        <v/>
      </c>
    </row>
    <row r="21">
      <c r="B21" s="2" t="inlineStr">
        <is>
          <t>Terminal value (Gordon growth)</t>
        </is>
      </c>
    </row>
    <row r="22">
      <c r="B22" t="inlineStr">
        <is>
          <t>g</t>
        </is>
      </c>
      <c r="C22" s="16">
        <f>'01_Assumptions'!C26</f>
        <v/>
      </c>
    </row>
    <row r="23">
      <c r="B23" t="inlineStr">
        <is>
          <t>Year-5 FCF</t>
        </is>
      </c>
      <c r="C23" s="11">
        <f>G15</f>
        <v/>
      </c>
    </row>
    <row r="24">
      <c r="B24" t="inlineStr">
        <is>
          <t>TV at Year 5  = FCF5*(1+g)/(WACC-g)</t>
        </is>
      </c>
      <c r="C24" s="26">
        <f>C23*(1+C22)/(C16-C22)</f>
        <v/>
      </c>
    </row>
    <row r="25">
      <c r="B25" t="inlineStr">
        <is>
          <t>PV of TV</t>
        </is>
      </c>
      <c r="C25" s="11">
        <f>C24*G18</f>
        <v/>
      </c>
    </row>
    <row r="27">
      <c r="B27" t="inlineStr">
        <is>
          <t>PV of explicit FCFs (Y1–Y5)</t>
        </is>
      </c>
      <c r="C27" s="11">
        <f>SUM(C19:G19)</f>
        <v/>
      </c>
    </row>
    <row r="28">
      <c r="B28" t="inlineStr">
        <is>
          <t>Enterprise value (= PV FCF + PV TV)</t>
        </is>
      </c>
      <c r="C28" s="18">
        <f>C27+C25</f>
        <v/>
      </c>
    </row>
    <row r="30">
      <c r="B30" s="2" t="inlineStr">
        <is>
          <t>IRR check</t>
        </is>
      </c>
    </row>
    <row r="31">
      <c r="B31" s="13" t="inlineStr">
        <is>
          <t>Cash flows for IRR: -EV at t0, then FCF1..FCF4, FCF5+TV</t>
        </is>
      </c>
    </row>
    <row r="32">
      <c r="B32" t="inlineStr">
        <is>
          <t>IRR</t>
        </is>
      </c>
      <c r="C32" s="20">
        <f>IRR(C33:H33)</f>
        <v/>
      </c>
    </row>
    <row r="33">
      <c r="B33" t="inlineStr">
        <is>
          <t>IRR cash flows</t>
        </is>
      </c>
      <c r="C33" s="11">
        <f>-C28</f>
        <v/>
      </c>
      <c r="D33" s="11">
        <f>C15</f>
        <v/>
      </c>
      <c r="E33" s="11">
        <f>D15</f>
        <v/>
      </c>
      <c r="F33" s="11">
        <f>E15</f>
        <v/>
      </c>
      <c r="G33" s="11">
        <f>F15</f>
        <v/>
      </c>
      <c r="H33" s="11">
        <f>G15+C24</f>
        <v/>
      </c>
    </row>
    <row r="34">
      <c r="C34" s="27" t="inlineStr">
        <is>
          <t>t0</t>
        </is>
      </c>
      <c r="D34" s="27" t="inlineStr">
        <is>
          <t>Y1</t>
        </is>
      </c>
      <c r="E34" s="27" t="inlineStr">
        <is>
          <t>Y2</t>
        </is>
      </c>
      <c r="F34" s="27" t="inlineStr">
        <is>
          <t>Y3</t>
        </is>
      </c>
      <c r="G34" s="27" t="inlineStr">
        <is>
          <t>Y4</t>
        </is>
      </c>
      <c r="H34" s="27" t="inlineStr">
        <is>
          <t>Y5+TV</t>
        </is>
      </c>
    </row>
    <row r="36" ht="32" customHeight="1">
      <c r="B36" s="28" t="inlineStr">
        <is>
          <t>IRR should approximately equal WACC when TV and FCFs are consistent with the discount rate (small differences from mid-year timing).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Sensitivity — Equity value ($000s)</t>
        </is>
      </c>
    </row>
    <row r="3">
      <c r="B3" s="6" t="inlineStr">
        <is>
          <t>Rows: WACC. Columns: terminal growth g. Each cell re-discounts FCFs with that WACC/g.</t>
        </is>
      </c>
    </row>
    <row r="5">
      <c r="B5" t="inlineStr">
        <is>
          <t>Base equity value</t>
        </is>
      </c>
      <c r="C5" s="26">
        <f>'04_Valuation'!C7</f>
        <v/>
      </c>
    </row>
    <row r="7">
      <c r="B7" s="23" t="inlineStr">
        <is>
          <t>WACC \ g</t>
        </is>
      </c>
      <c r="C7" s="29" t="n">
        <v>0.015</v>
      </c>
      <c r="D7" s="29" t="n">
        <v>0.02</v>
      </c>
      <c r="E7" s="29" t="n">
        <v>0.025</v>
      </c>
      <c r="F7" s="29" t="n">
        <v>0.03</v>
      </c>
      <c r="G7" s="29" t="n">
        <v>0.035</v>
      </c>
    </row>
    <row r="8">
      <c r="B8" s="30" t="n">
        <v>0.075</v>
      </c>
      <c r="C8" s="11">
        <f>('04_Valuation'!$C$15/(1+$B8)^0.5+'04_Valuation'!$D$15/(1+$B8)^1.5+'04_Valuation'!$E$15/(1+$B8)^2.5+'04_Valuation'!$F$15/(1+$B8)^3.5+'04_Valuation'!$G$15/(1+$B8)^4.5+('04_Valuation'!$G$15*(1+0.015)/($B8-0.015))/(1+$B8)^4.5)-'01_Assumptions'!$C$30</f>
        <v/>
      </c>
      <c r="D8" s="11">
        <f>('04_Valuation'!$C$15/(1+$B8)^0.5+'04_Valuation'!$D$15/(1+$B8)^1.5+'04_Valuation'!$E$15/(1+$B8)^2.5+'04_Valuation'!$F$15/(1+$B8)^3.5+'04_Valuation'!$G$15/(1+$B8)^4.5+('04_Valuation'!$G$15*(1+0.02)/($B8-0.02))/(1+$B8)^4.5)-'01_Assumptions'!$C$30</f>
        <v/>
      </c>
      <c r="E8" s="11">
        <f>('04_Valuation'!$C$15/(1+$B8)^0.5+'04_Valuation'!$D$15/(1+$B8)^1.5+'04_Valuation'!$E$15/(1+$B8)^2.5+'04_Valuation'!$F$15/(1+$B8)^3.5+'04_Valuation'!$G$15/(1+$B8)^4.5+('04_Valuation'!$G$15*(1+0.025)/($B8-0.025))/(1+$B8)^4.5)-'01_Assumptions'!$C$30</f>
        <v/>
      </c>
      <c r="F8" s="11">
        <f>('04_Valuation'!$C$15/(1+$B8)^0.5+'04_Valuation'!$D$15/(1+$B8)^1.5+'04_Valuation'!$E$15/(1+$B8)^2.5+'04_Valuation'!$F$15/(1+$B8)^3.5+'04_Valuation'!$G$15/(1+$B8)^4.5+('04_Valuation'!$G$15*(1+0.03)/($B8-0.03))/(1+$B8)^4.5)-'01_Assumptions'!$C$30</f>
        <v/>
      </c>
      <c r="G8" s="11">
        <f>('04_Valuation'!$C$15/(1+$B8)^0.5+'04_Valuation'!$D$15/(1+$B8)^1.5+'04_Valuation'!$E$15/(1+$B8)^2.5+'04_Valuation'!$F$15/(1+$B8)^3.5+'04_Valuation'!$G$15/(1+$B8)^4.5+('04_Valuation'!$G$15*(1+0.035)/($B8-0.035))/(1+$B8)^4.5)-'01_Assumptions'!$C$30</f>
        <v/>
      </c>
    </row>
    <row r="9">
      <c r="B9" s="30" t="n">
        <v>0.08500000000000001</v>
      </c>
      <c r="C9" s="11">
        <f>('04_Valuation'!$C$15/(1+$B9)^0.5+'04_Valuation'!$D$15/(1+$B9)^1.5+'04_Valuation'!$E$15/(1+$B9)^2.5+'04_Valuation'!$F$15/(1+$B9)^3.5+'04_Valuation'!$G$15/(1+$B9)^4.5+('04_Valuation'!$G$15*(1+0.015)/($B9-0.015))/(1+$B9)^4.5)-'01_Assumptions'!$C$30</f>
        <v/>
      </c>
      <c r="D9" s="11">
        <f>('04_Valuation'!$C$15/(1+$B9)^0.5+'04_Valuation'!$D$15/(1+$B9)^1.5+'04_Valuation'!$E$15/(1+$B9)^2.5+'04_Valuation'!$F$15/(1+$B9)^3.5+'04_Valuation'!$G$15/(1+$B9)^4.5+('04_Valuation'!$G$15*(1+0.02)/($B9-0.02))/(1+$B9)^4.5)-'01_Assumptions'!$C$30</f>
        <v/>
      </c>
      <c r="E9" s="11">
        <f>('04_Valuation'!$C$15/(1+$B9)^0.5+'04_Valuation'!$D$15/(1+$B9)^1.5+'04_Valuation'!$E$15/(1+$B9)^2.5+'04_Valuation'!$F$15/(1+$B9)^3.5+'04_Valuation'!$G$15/(1+$B9)^4.5+('04_Valuation'!$G$15*(1+0.025)/($B9-0.025))/(1+$B9)^4.5)-'01_Assumptions'!$C$30</f>
        <v/>
      </c>
      <c r="F9" s="11">
        <f>('04_Valuation'!$C$15/(1+$B9)^0.5+'04_Valuation'!$D$15/(1+$B9)^1.5+'04_Valuation'!$E$15/(1+$B9)^2.5+'04_Valuation'!$F$15/(1+$B9)^3.5+'04_Valuation'!$G$15/(1+$B9)^4.5+('04_Valuation'!$G$15*(1+0.03)/($B9-0.03))/(1+$B9)^4.5)-'01_Assumptions'!$C$30</f>
        <v/>
      </c>
      <c r="G9" s="11">
        <f>('04_Valuation'!$C$15/(1+$B9)^0.5+'04_Valuation'!$D$15/(1+$B9)^1.5+'04_Valuation'!$E$15/(1+$B9)^2.5+'04_Valuation'!$F$15/(1+$B9)^3.5+'04_Valuation'!$G$15/(1+$B9)^4.5+('04_Valuation'!$G$15*(1+0.035)/($B9-0.035))/(1+$B9)^4.5)-'01_Assumptions'!$C$30</f>
        <v/>
      </c>
    </row>
    <row r="10">
      <c r="B10" s="30" t="n">
        <v>0.095</v>
      </c>
      <c r="C10" s="11">
        <f>('04_Valuation'!$C$15/(1+$B10)^0.5+'04_Valuation'!$D$15/(1+$B10)^1.5+'04_Valuation'!$E$15/(1+$B10)^2.5+'04_Valuation'!$F$15/(1+$B10)^3.5+'04_Valuation'!$G$15/(1+$B10)^4.5+('04_Valuation'!$G$15*(1+0.015)/($B10-0.015))/(1+$B10)^4.5)-'01_Assumptions'!$C$30</f>
        <v/>
      </c>
      <c r="D10" s="11">
        <f>('04_Valuation'!$C$15/(1+$B10)^0.5+'04_Valuation'!$D$15/(1+$B10)^1.5+'04_Valuation'!$E$15/(1+$B10)^2.5+'04_Valuation'!$F$15/(1+$B10)^3.5+'04_Valuation'!$G$15/(1+$B10)^4.5+('04_Valuation'!$G$15*(1+0.02)/($B10-0.02))/(1+$B10)^4.5)-'01_Assumptions'!$C$30</f>
        <v/>
      </c>
      <c r="E10" s="11">
        <f>('04_Valuation'!$C$15/(1+$B10)^0.5+'04_Valuation'!$D$15/(1+$B10)^1.5+'04_Valuation'!$E$15/(1+$B10)^2.5+'04_Valuation'!$F$15/(1+$B10)^3.5+'04_Valuation'!$G$15/(1+$B10)^4.5+('04_Valuation'!$G$15*(1+0.025)/($B10-0.025))/(1+$B10)^4.5)-'01_Assumptions'!$C$30</f>
        <v/>
      </c>
      <c r="F10" s="11">
        <f>('04_Valuation'!$C$15/(1+$B10)^0.5+'04_Valuation'!$D$15/(1+$B10)^1.5+'04_Valuation'!$E$15/(1+$B10)^2.5+'04_Valuation'!$F$15/(1+$B10)^3.5+'04_Valuation'!$G$15/(1+$B10)^4.5+('04_Valuation'!$G$15*(1+0.03)/($B10-0.03))/(1+$B10)^4.5)-'01_Assumptions'!$C$30</f>
        <v/>
      </c>
      <c r="G10" s="11">
        <f>('04_Valuation'!$C$15/(1+$B10)^0.5+'04_Valuation'!$D$15/(1+$B10)^1.5+'04_Valuation'!$E$15/(1+$B10)^2.5+'04_Valuation'!$F$15/(1+$B10)^3.5+'04_Valuation'!$G$15/(1+$B10)^4.5+('04_Valuation'!$G$15*(1+0.035)/($B10-0.035))/(1+$B10)^4.5)-'01_Assumptions'!$C$30</f>
        <v/>
      </c>
    </row>
    <row r="11">
      <c r="B11" s="30" t="n">
        <v>0.105</v>
      </c>
      <c r="C11" s="11">
        <f>('04_Valuation'!$C$15/(1+$B11)^0.5+'04_Valuation'!$D$15/(1+$B11)^1.5+'04_Valuation'!$E$15/(1+$B11)^2.5+'04_Valuation'!$F$15/(1+$B11)^3.5+'04_Valuation'!$G$15/(1+$B11)^4.5+('04_Valuation'!$G$15*(1+0.015)/($B11-0.015))/(1+$B11)^4.5)-'01_Assumptions'!$C$30</f>
        <v/>
      </c>
      <c r="D11" s="11">
        <f>('04_Valuation'!$C$15/(1+$B11)^0.5+'04_Valuation'!$D$15/(1+$B11)^1.5+'04_Valuation'!$E$15/(1+$B11)^2.5+'04_Valuation'!$F$15/(1+$B11)^3.5+'04_Valuation'!$G$15/(1+$B11)^4.5+('04_Valuation'!$G$15*(1+0.02)/($B11-0.02))/(1+$B11)^4.5)-'01_Assumptions'!$C$30</f>
        <v/>
      </c>
      <c r="E11" s="11">
        <f>('04_Valuation'!$C$15/(1+$B11)^0.5+'04_Valuation'!$D$15/(1+$B11)^1.5+'04_Valuation'!$E$15/(1+$B11)^2.5+'04_Valuation'!$F$15/(1+$B11)^3.5+'04_Valuation'!$G$15/(1+$B11)^4.5+('04_Valuation'!$G$15*(1+0.025)/($B11-0.025))/(1+$B11)^4.5)-'01_Assumptions'!$C$30</f>
        <v/>
      </c>
      <c r="F11" s="11">
        <f>('04_Valuation'!$C$15/(1+$B11)^0.5+'04_Valuation'!$D$15/(1+$B11)^1.5+'04_Valuation'!$E$15/(1+$B11)^2.5+'04_Valuation'!$F$15/(1+$B11)^3.5+'04_Valuation'!$G$15/(1+$B11)^4.5+('04_Valuation'!$G$15*(1+0.03)/($B11-0.03))/(1+$B11)^4.5)-'01_Assumptions'!$C$30</f>
        <v/>
      </c>
      <c r="G11" s="11">
        <f>('04_Valuation'!$C$15/(1+$B11)^0.5+'04_Valuation'!$D$15/(1+$B11)^1.5+'04_Valuation'!$E$15/(1+$B11)^2.5+'04_Valuation'!$F$15/(1+$B11)^3.5+'04_Valuation'!$G$15/(1+$B11)^4.5+('04_Valuation'!$G$15*(1+0.035)/($B11-0.035))/(1+$B11)^4.5)-'01_Assumptions'!$C$30</f>
        <v/>
      </c>
    </row>
    <row r="12">
      <c r="B12" s="30" t="n">
        <v>0.115</v>
      </c>
      <c r="C12" s="11">
        <f>('04_Valuation'!$C$15/(1+$B12)^0.5+'04_Valuation'!$D$15/(1+$B12)^1.5+'04_Valuation'!$E$15/(1+$B12)^2.5+'04_Valuation'!$F$15/(1+$B12)^3.5+'04_Valuation'!$G$15/(1+$B12)^4.5+('04_Valuation'!$G$15*(1+0.015)/($B12-0.015))/(1+$B12)^4.5)-'01_Assumptions'!$C$30</f>
        <v/>
      </c>
      <c r="D12" s="11">
        <f>('04_Valuation'!$C$15/(1+$B12)^0.5+'04_Valuation'!$D$15/(1+$B12)^1.5+'04_Valuation'!$E$15/(1+$B12)^2.5+'04_Valuation'!$F$15/(1+$B12)^3.5+'04_Valuation'!$G$15/(1+$B12)^4.5+('04_Valuation'!$G$15*(1+0.02)/($B12-0.02))/(1+$B12)^4.5)-'01_Assumptions'!$C$30</f>
        <v/>
      </c>
      <c r="E12" s="11">
        <f>('04_Valuation'!$C$15/(1+$B12)^0.5+'04_Valuation'!$D$15/(1+$B12)^1.5+'04_Valuation'!$E$15/(1+$B12)^2.5+'04_Valuation'!$F$15/(1+$B12)^3.5+'04_Valuation'!$G$15/(1+$B12)^4.5+('04_Valuation'!$G$15*(1+0.025)/($B12-0.025))/(1+$B12)^4.5)-'01_Assumptions'!$C$30</f>
        <v/>
      </c>
      <c r="F12" s="11">
        <f>('04_Valuation'!$C$15/(1+$B12)^0.5+'04_Valuation'!$D$15/(1+$B12)^1.5+'04_Valuation'!$E$15/(1+$B12)^2.5+'04_Valuation'!$F$15/(1+$B12)^3.5+'04_Valuation'!$G$15/(1+$B12)^4.5+('04_Valuation'!$G$15*(1+0.03)/($B12-0.03))/(1+$B12)^4.5)-'01_Assumptions'!$C$30</f>
        <v/>
      </c>
      <c r="G12" s="11">
        <f>('04_Valuation'!$C$15/(1+$B12)^0.5+'04_Valuation'!$D$15/(1+$B12)^1.5+'04_Valuation'!$E$15/(1+$B12)^2.5+'04_Valuation'!$F$15/(1+$B12)^3.5+'04_Valuation'!$G$15/(1+$B12)^4.5+('04_Valuation'!$G$15*(1+0.035)/($B12-0.035))/(1+$B12)^4.5)-'01_Assumptions'!$C$30</f>
        <v/>
      </c>
    </row>
    <row r="14">
      <c r="B14" s="13" t="inlineStr">
        <is>
          <t>Base case WACC and g are highlighted conceptually on 03_WACC / 01_Assumptions (≈9.x% WACC, 2.5% g).</t>
        </is>
      </c>
    </row>
    <row r="15">
      <c r="B15" s="13" t="inlineStr">
        <is>
          <t>Gray cells where g ≥ WACC would be undefined; those combinations are excluded from this grid.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60" customWidth="1" min="4" max="4"/>
  </cols>
  <sheetData>
    <row r="2">
      <c r="B2" s="1" t="inlineStr">
        <is>
          <t>Data dictionary</t>
        </is>
      </c>
    </row>
    <row r="4">
      <c r="B4" s="31" t="inlineStr">
        <is>
          <t>Field</t>
        </is>
      </c>
      <c r="C4" s="31" t="inlineStr">
        <is>
          <t>Tab</t>
        </is>
      </c>
      <c r="D4" s="31" t="inlineStr">
        <is>
          <t>Definition</t>
        </is>
      </c>
    </row>
    <row r="5" ht="32" customHeight="1">
      <c r="B5" s="3" t="inlineStr">
        <is>
          <t>Revenue</t>
        </is>
      </c>
      <c r="C5" t="inlineStr">
        <is>
          <t>01_Assumptions</t>
        </is>
      </c>
      <c r="D5" s="4" t="inlineStr">
        <is>
          <t>Top-line sales for Northline; Year 0 is LTM, Years 1–5 grow off prior year.</t>
        </is>
      </c>
    </row>
    <row r="6" ht="32" customHeight="1">
      <c r="B6" s="3" t="inlineStr">
        <is>
          <t>Revenue growth</t>
        </is>
      </c>
      <c r="C6" t="inlineStr">
        <is>
          <t>01_Assumptions</t>
        </is>
      </c>
      <c r="D6" s="4" t="inlineStr">
        <is>
          <t>Year-over-year % applied to build the revenue forecast.</t>
        </is>
      </c>
    </row>
    <row r="7" ht="32" customHeight="1">
      <c r="B7" s="3" t="inlineStr">
        <is>
          <t>EBITDA margin</t>
        </is>
      </c>
      <c r="C7" t="inlineStr">
        <is>
          <t>01_Assumptions</t>
        </is>
      </c>
      <c r="D7" s="4" t="inlineStr">
        <is>
          <t>EBITDA ÷ Revenue. Path can rise with mix/scale.</t>
        </is>
      </c>
    </row>
    <row r="8" ht="32" customHeight="1">
      <c r="B8" s="3" t="inlineStr">
        <is>
          <t>D&amp;A % of revenue</t>
        </is>
      </c>
      <c r="C8" t="inlineStr">
        <is>
          <t>01_Assumptions</t>
        </is>
      </c>
      <c r="D8" s="4" t="inlineStr">
        <is>
          <t>Depreciation &amp; amortization as % of revenue.</t>
        </is>
      </c>
    </row>
    <row r="9" ht="32" customHeight="1">
      <c r="B9" s="3" t="inlineStr">
        <is>
          <t>Capex % of revenue</t>
        </is>
      </c>
      <c r="C9" t="inlineStr">
        <is>
          <t>01_Assumptions</t>
        </is>
      </c>
      <c r="D9" s="4" t="inlineStr">
        <is>
          <t>Cash capital expenditure as % of revenue.</t>
        </is>
      </c>
    </row>
    <row r="10" ht="32" customHeight="1">
      <c r="B10" s="3" t="inlineStr">
        <is>
          <t>NWC % of revenue</t>
        </is>
      </c>
      <c r="C10" t="inlineStr">
        <is>
          <t>01_Assumptions</t>
        </is>
      </c>
      <c r="D10" s="4" t="inlineStr">
        <is>
          <t>Net working capital balance as % of revenue; ΔNWC is a cash use when the balance rises.</t>
        </is>
      </c>
    </row>
    <row r="11" ht="32" customHeight="1">
      <c r="B11" s="3" t="inlineStr">
        <is>
          <t>Tax rate</t>
        </is>
      </c>
      <c r="C11" t="inlineStr">
        <is>
          <t>01_Assumptions</t>
        </is>
      </c>
      <c r="D11" s="4" t="inlineStr">
        <is>
          <t>Statutory/ marginal rate applied to EBIT for NOPAT (simplified).</t>
        </is>
      </c>
    </row>
    <row r="12" ht="32" customHeight="1">
      <c r="B12" s="3" t="inlineStr">
        <is>
          <t>WACC inputs</t>
        </is>
      </c>
      <c r="C12" t="inlineStr">
        <is>
          <t>01_Assumptions / 03_WACC</t>
        </is>
      </c>
      <c r="D12" s="4" t="inlineStr">
        <is>
          <t>CAPM cost of equity and after-tax cost of debt, blended by target capital structure.</t>
        </is>
      </c>
    </row>
    <row r="13" ht="32" customHeight="1">
      <c r="B13" s="3" t="inlineStr">
        <is>
          <t>Terminal growth g</t>
        </is>
      </c>
      <c r="C13" t="inlineStr">
        <is>
          <t>01_Assumptions</t>
        </is>
      </c>
      <c r="D13" s="4" t="inlineStr">
        <is>
          <t>Perpetuity growth on Year-5 FCF. Must be below WACC.</t>
        </is>
      </c>
    </row>
    <row r="14" ht="32" customHeight="1">
      <c r="B14" s="3" t="inlineStr">
        <is>
          <t>Net debt</t>
        </is>
      </c>
      <c r="C14" t="inlineStr">
        <is>
          <t>01_Assumptions</t>
        </is>
      </c>
      <c r="D14" s="4" t="inlineStr">
        <is>
          <t>Interest-bearing debt minus cash. Subtracted from EV to get equity value.</t>
        </is>
      </c>
    </row>
    <row r="15" ht="32" customHeight="1">
      <c r="B15" s="3" t="inlineStr">
        <is>
          <t>Unlevered FCF</t>
        </is>
      </c>
      <c r="C15" t="inlineStr">
        <is>
          <t>02_FCF_Build</t>
        </is>
      </c>
      <c r="D15" s="4" t="inlineStr">
        <is>
          <t>NOPAT + D&amp;A − Capex − ΔNWC. Cash flow to all providers of capital.</t>
        </is>
      </c>
    </row>
    <row r="16" ht="32" customHeight="1">
      <c r="B16" s="3" t="inlineStr">
        <is>
          <t>Enterprise value</t>
        </is>
      </c>
      <c r="C16" t="inlineStr">
        <is>
          <t>04_Valuation</t>
        </is>
      </c>
      <c r="D16" s="4" t="inlineStr">
        <is>
          <t>PV of Year 1–5 FCFs + PV of terminal value, discounted at WACC.</t>
        </is>
      </c>
    </row>
    <row r="17" ht="32" customHeight="1">
      <c r="B17" s="3" t="inlineStr">
        <is>
          <t>Equity value</t>
        </is>
      </c>
      <c r="C17" t="inlineStr">
        <is>
          <t>04_Valuation</t>
        </is>
      </c>
      <c r="D17" s="4" t="inlineStr">
        <is>
          <t>Enterprise value − net debt.</t>
        </is>
      </c>
    </row>
    <row r="18" ht="32" customHeight="1">
      <c r="B18" s="3" t="inlineStr">
        <is>
          <t>NPV</t>
        </is>
      </c>
      <c r="C18" t="inlineStr">
        <is>
          <t>04_Valuation</t>
        </is>
      </c>
      <c r="D18" s="4" t="inlineStr">
        <is>
          <t>Same as enterprise value here (going-concern DCF vs $0 invested at t0 outside the firm).</t>
        </is>
      </c>
    </row>
    <row r="19" ht="32" customHeight="1">
      <c r="B19" s="3" t="inlineStr">
        <is>
          <t>IRR</t>
        </is>
      </c>
      <c r="C19" t="inlineStr">
        <is>
          <t>04_Valuation</t>
        </is>
      </c>
      <c r="D19" s="4" t="inlineStr">
        <is>
          <t>Internal rate of return on (−EV, FCF1…FCF4, FCF5+TV). Near WACC when timing matches.</t>
        </is>
      </c>
    </row>
    <row r="20" ht="32" customHeight="1">
      <c r="B20" s="3" t="inlineStr">
        <is>
          <t>Mid-year convention</t>
        </is>
      </c>
      <c r="C20" t="inlineStr">
        <is>
          <t>01_Assumptions</t>
        </is>
      </c>
      <c r="D20" s="4" t="inlineStr">
        <is>
          <t>If 1, cash flows discounted at mid-year (0.5, 1.5, …). If 0, year-end (1, 2, …).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2026-08-27T23:15:52Z</dcterms:created>
  <dcterms:modified xsi:type="dcterms:W3CDTF">2026-08-27T23:15:52Z</dcterms:modified>
</cp:coreProperties>
</file>